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0" yWindow="0" windowWidth="25600" windowHeight="14400" tabRatio="500"/>
  </bookViews>
  <sheets>
    <sheet name="Main" sheetId="1" r:id="rId1"/>
    <sheet name="Tree" sheetId="2" r:id="rId2"/>
    <sheet name="工作表1" sheetId="3" r:id="rId3"/>
  </sheets>
  <definedNames>
    <definedName name="CallPut">Main!$B$6</definedName>
    <definedName name="Mat">Main!$B$8</definedName>
    <definedName name="Rfree">Main!$B$3</definedName>
    <definedName name="Spot">Main!$B$1</definedName>
    <definedName name="Strike">Main!$B$7</definedName>
    <definedName name="Volat">Main!$B$2</definedName>
    <definedName name="Volet">Main!$B$2</definedName>
  </definedName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" l="1"/>
  <c r="B15" i="1"/>
  <c r="B14" i="1"/>
  <c r="B13" i="1"/>
  <c r="B12" i="1"/>
  <c r="E1" i="1"/>
  <c r="E6" i="1"/>
  <c r="E2" i="1"/>
  <c r="E7" i="1"/>
  <c r="E3" i="1"/>
  <c r="E8" i="1"/>
</calcChain>
</file>

<file path=xl/sharedStrings.xml><?xml version="1.0" encoding="utf-8"?>
<sst xmlns="http://schemas.openxmlformats.org/spreadsheetml/2006/main" count="25" uniqueCount="25">
  <si>
    <t>Stock Price</t>
    <phoneticPr fontId="1" type="noConversion"/>
  </si>
  <si>
    <t>Volatility</t>
    <phoneticPr fontId="1" type="noConversion"/>
  </si>
  <si>
    <t>Risk-free Rate</t>
    <phoneticPr fontId="1" type="noConversion"/>
  </si>
  <si>
    <t>Call or Put</t>
    <phoneticPr fontId="1" type="noConversion"/>
  </si>
  <si>
    <t>Strike</t>
    <phoneticPr fontId="1" type="noConversion"/>
  </si>
  <si>
    <t>Maturity years</t>
    <phoneticPr fontId="1" type="noConversion"/>
  </si>
  <si>
    <t>d1</t>
    <phoneticPr fontId="1" type="noConversion"/>
  </si>
  <si>
    <t>d2</t>
    <phoneticPr fontId="1" type="noConversion"/>
  </si>
  <si>
    <t>nd1</t>
    <phoneticPr fontId="1" type="noConversion"/>
  </si>
  <si>
    <t>nd2</t>
    <phoneticPr fontId="1" type="noConversion"/>
  </si>
  <si>
    <t>Disc strike</t>
    <phoneticPr fontId="1" type="noConversion"/>
  </si>
  <si>
    <t>C price</t>
    <phoneticPr fontId="1" type="noConversion"/>
  </si>
  <si>
    <t>Call</t>
    <phoneticPr fontId="1" type="noConversion"/>
  </si>
  <si>
    <t>Put</t>
    <phoneticPr fontId="1" type="noConversion"/>
  </si>
  <si>
    <t>Put</t>
  </si>
  <si>
    <t>BSPrice</t>
    <phoneticPr fontId="1" type="noConversion"/>
  </si>
  <si>
    <t>n</t>
    <phoneticPr fontId="1" type="noConversion"/>
  </si>
  <si>
    <t>u</t>
    <phoneticPr fontId="1" type="noConversion"/>
  </si>
  <si>
    <t>d</t>
    <phoneticPr fontId="1" type="noConversion"/>
  </si>
  <si>
    <t>p</t>
    <phoneticPr fontId="1" type="noConversion"/>
  </si>
  <si>
    <t>a</t>
    <phoneticPr fontId="1" type="noConversion"/>
  </si>
  <si>
    <t>delta t</t>
    <phoneticPr fontId="1" type="noConversion"/>
  </si>
  <si>
    <t>T</t>
    <phoneticPr fontId="1" type="noConversion"/>
  </si>
  <si>
    <t>r</t>
    <phoneticPr fontId="1" type="noConversion"/>
  </si>
  <si>
    <t>segma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</si>
</sst>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rgb="FF000000"/>
      <name val="Osak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0" borderId="0" xfId="0" applyAlignment="1">
      <alignment horizontal="right"/>
    </xf>
  </cellXfs>
  <cellStyles count="1">
    <cellStyle name="普通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7" dropStyle="combo" dx="16" fmlaRange="$I$8:$I$9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444500</xdr:colOff>
          <xdr:row>12</xdr:row>
          <xdr:rowOff>25400</xdr:rowOff>
        </xdr:from>
        <xdr:to>
          <xdr:col>9</xdr:col>
          <xdr:colOff>190500</xdr:colOff>
          <xdr:row>13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altLang="zh-CN" sz="12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PriceTree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5</xdr:row>
          <xdr:rowOff>10160</xdr:rowOff>
        </xdr:from>
        <xdr:to>
          <xdr:col>8</xdr:col>
          <xdr:colOff>622300</xdr:colOff>
          <xdr:row>7</xdr:row>
          <xdr:rowOff>76200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A1:I16"/>
  <sheetViews>
    <sheetView tabSelected="1" topLeftCell="B1" zoomScale="125" zoomScaleNormal="125" zoomScalePageLayoutView="125" workbookViewId="0">
      <selection activeCell="J5" sqref="J5"/>
    </sheetView>
  </sheetViews>
  <sheetFormatPr baseColWidth="10" defaultRowHeight="15" x14ac:dyDescent="0"/>
  <cols>
    <col min="1" max="1" width="15.5" bestFit="1" customWidth="1"/>
    <col min="4" max="4" width="12.5" bestFit="1" customWidth="1"/>
  </cols>
  <sheetData>
    <row r="1" spans="1:9">
      <c r="A1" t="s">
        <v>0</v>
      </c>
      <c r="B1">
        <v>42</v>
      </c>
      <c r="D1" t="s">
        <v>6</v>
      </c>
      <c r="E1">
        <f>(LN(Spot/Strike)+(Rfree+Volat^2/2)*Mat)/(Volat*Mat^0.5)</f>
        <v>0.76926262810603152</v>
      </c>
      <c r="G1" t="s">
        <v>12</v>
      </c>
    </row>
    <row r="2" spans="1:9">
      <c r="A2" t="s">
        <v>1</v>
      </c>
      <c r="B2" s="1">
        <v>0.2</v>
      </c>
      <c r="D2" t="s">
        <v>7</v>
      </c>
      <c r="E2">
        <f>E1-B2*B8^0.5</f>
        <v>0.62784127186872196</v>
      </c>
      <c r="G2" t="s">
        <v>13</v>
      </c>
    </row>
    <row r="3" spans="1:9">
      <c r="A3" t="s">
        <v>2</v>
      </c>
      <c r="B3" s="1">
        <v>0.1</v>
      </c>
      <c r="D3" t="s">
        <v>10</v>
      </c>
      <c r="E3">
        <f>B7*EXP(-B3*B8)</f>
        <v>38.049176980028562</v>
      </c>
    </row>
    <row r="6" spans="1:9">
      <c r="A6" t="s">
        <v>3</v>
      </c>
      <c r="B6" s="2" t="s">
        <v>14</v>
      </c>
      <c r="D6" t="s">
        <v>8</v>
      </c>
      <c r="E6">
        <f>_xlfn.NORM.S.DIST(E1,1)</f>
        <v>0.77913129094266897</v>
      </c>
    </row>
    <row r="7" spans="1:9">
      <c r="A7" t="s">
        <v>4</v>
      </c>
      <c r="B7">
        <v>40</v>
      </c>
      <c r="D7" t="s">
        <v>9</v>
      </c>
      <c r="E7">
        <f>_xlfn.NORM.S.DIST(E2,1)</f>
        <v>0.73494603684590853</v>
      </c>
    </row>
    <row r="8" spans="1:9">
      <c r="A8" t="s">
        <v>5</v>
      </c>
      <c r="B8">
        <v>0.5</v>
      </c>
      <c r="D8" t="s">
        <v>11</v>
      </c>
      <c r="E8">
        <f>B1*E6-E3*E7</f>
        <v>4.7594223928715316</v>
      </c>
      <c r="I8">
        <v>0</v>
      </c>
    </row>
    <row r="9" spans="1:9">
      <c r="I9">
        <v>1</v>
      </c>
    </row>
    <row r="10" spans="1:9">
      <c r="D10" t="s">
        <v>15</v>
      </c>
    </row>
    <row r="12" spans="1:9">
      <c r="A12" t="s">
        <v>16</v>
      </c>
      <c r="B12">
        <f>F13/F12</f>
        <v>4</v>
      </c>
      <c r="E12" t="s">
        <v>21</v>
      </c>
      <c r="F12">
        <v>0.5</v>
      </c>
    </row>
    <row r="13" spans="1:9">
      <c r="A13" t="s">
        <v>17</v>
      </c>
      <c r="B13">
        <f>EXP(F15*SQRT(F12))</f>
        <v>1.2363111098437878</v>
      </c>
      <c r="E13" t="s">
        <v>22</v>
      </c>
      <c r="F13">
        <v>2</v>
      </c>
    </row>
    <row r="14" spans="1:9">
      <c r="A14" t="s">
        <v>18</v>
      </c>
      <c r="B14">
        <f>1/B13</f>
        <v>0.80885789348471804</v>
      </c>
      <c r="E14" t="s">
        <v>23</v>
      </c>
      <c r="F14">
        <v>0.1</v>
      </c>
    </row>
    <row r="15" spans="1:9">
      <c r="A15" t="s">
        <v>19</v>
      </c>
      <c r="B15">
        <f>(B16-B14)/(B13-B14)</f>
        <v>0.56711048978907175</v>
      </c>
      <c r="E15" t="s">
        <v>24</v>
      </c>
      <c r="F15">
        <v>0.3</v>
      </c>
    </row>
    <row r="16" spans="1:9">
      <c r="A16" t="s">
        <v>20</v>
      </c>
      <c r="B16">
        <f>EXP(F14*F12)</f>
        <v>1.0512710963760241</v>
      </c>
    </row>
  </sheetData>
  <phoneticPr fontId="1" type="noConversion"/>
  <dataValidations count="1">
    <dataValidation type="list" allowBlank="1" showInputMessage="1" showErrorMessage="1" sqref="B6">
      <formula1>$G$1:$G$2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OptionPrice">
                <anchor moveWithCells="1" sizeWithCells="1">
                  <from>
                    <xdr:col>7</xdr:col>
                    <xdr:colOff>444500</xdr:colOff>
                    <xdr:row>12</xdr:row>
                    <xdr:rowOff>25400</xdr:rowOff>
                  </from>
                  <to>
                    <xdr:col>9</xdr:col>
                    <xdr:colOff>190500</xdr:colOff>
                    <xdr:row>13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7</xdr:col>
                    <xdr:colOff>533400</xdr:colOff>
                    <xdr:row>5</xdr:row>
                    <xdr:rowOff>12700</xdr:rowOff>
                  </from>
                  <to>
                    <xdr:col>8</xdr:col>
                    <xdr:colOff>622300</xdr:colOff>
                    <xdr:row>6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"/>
  <sheetViews>
    <sheetView workbookViewId="0">
      <selection activeCell="C18" sqref="C18"/>
    </sheetView>
  </sheetViews>
  <sheetFormatPr baseColWidth="10" defaultRowHeight="15" x14ac:dyDescent="0"/>
  <sheetData/>
  <phoneticPr fontId="1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/>
  <dimension ref="A1"/>
  <sheetViews>
    <sheetView workbookViewId="0">
      <selection activeCell="E23" sqref="E23"/>
    </sheetView>
  </sheetViews>
  <sheetFormatPr baseColWidth="10" defaultRowHeight="15" x14ac:dyDescent="0"/>
  <sheetData/>
  <phoneticPr fontId="1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Tree</vt:lpstr>
      <vt:lpstr>工作表1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连 艺婷</dc:creator>
  <cp:lastModifiedBy>连 艺婷</cp:lastModifiedBy>
  <dcterms:created xsi:type="dcterms:W3CDTF">2015-09-30T15:22:21Z</dcterms:created>
  <dcterms:modified xsi:type="dcterms:W3CDTF">2015-10-21T16:44:30Z</dcterms:modified>
</cp:coreProperties>
</file>